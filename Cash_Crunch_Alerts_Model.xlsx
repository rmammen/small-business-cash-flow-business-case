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 Model" sheetId="1" state="visible" r:id="rId3"/>
    <sheet name="Feature Prioritization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<sst xmlns="http://schemas.openxmlformats.org/spreadsheetml/2006/main" count="97" uniqueCount="85">
  <si>
    <t xml:space="preserve">Cash Crunch Alerts: Opportunity Sizing</t>
  </si>
  <si>
    <t xml:space="preserve">Illustrative model. Blue = editable assumption, yellow = key assumption to pressure-test, black = formula.</t>
  </si>
  <si>
    <t xml:space="preserve">Driver</t>
  </si>
  <si>
    <t xml:space="preserve">Low</t>
  </si>
  <si>
    <t xml:space="preserve">Base</t>
  </si>
  <si>
    <t xml:space="preserve">High</t>
  </si>
  <si>
    <t xml:space="preserve">Unit</t>
  </si>
  <si>
    <t xml:space="preserve">Source / rationale</t>
  </si>
  <si>
    <t xml:space="preserve">Small business customers using the dashboard</t>
  </si>
  <si>
    <t xml:space="preserve">customers</t>
  </si>
  <si>
    <t xml:space="preserve">ILLUSTRATIVE assumption for a mid-size business card issuer. Not company data.</t>
  </si>
  <si>
    <t xml:space="preserve">Share reporting uneven cash flow</t>
  </si>
  <si>
    <t xml:space="preserve">%</t>
  </si>
  <si>
    <t xml:space="preserve">Fed SBCS 2025 survey (2026 Report on Employer Firms): ~half of employer firms cite uneven cash flow, incl. collecting receivables.</t>
  </si>
  <si>
    <t xml:space="preserve">Share that turn on cash crunch alerts</t>
  </si>
  <si>
    <t xml:space="preserve">Assumption: opt-in adoption of a free in-app feature.</t>
  </si>
  <si>
    <t xml:space="preserve">Share of alert users who draw on line of credit</t>
  </si>
  <si>
    <t xml:space="preserve">Assumption. SBCS: 56% of financing applicants sought it to meet operating expenses.</t>
  </si>
  <si>
    <t xml:space="preserve">Average draw size</t>
  </si>
  <si>
    <t xml:space="preserve">$</t>
  </si>
  <si>
    <t xml:space="preserve">Assumption. SBCS: 37% of applicants sought less than $50K.</t>
  </si>
  <si>
    <t xml:space="preserve">Annualized yield on draws</t>
  </si>
  <si>
    <t xml:space="preserve">Assumption for fees/interest on short-term working capital.</t>
  </si>
  <si>
    <t xml:space="preserve">Average months a draw is outstanding</t>
  </si>
  <si>
    <t xml:space="preserve">months</t>
  </si>
  <si>
    <t xml:space="preserve">Assumption: short-term gap bridging.</t>
  </si>
  <si>
    <t xml:space="preserve">Expected credit loss rate on draws</t>
  </si>
  <si>
    <t xml:space="preserve">Assumption.</t>
  </si>
  <si>
    <t xml:space="preserve">Share of alert users paying suppliers by card for float</t>
  </si>
  <si>
    <t xml:space="preserve">Incremental annual card spend per shifting user</t>
  </si>
  <si>
    <t xml:space="preserve">Net revenue rate on card spend</t>
  </si>
  <si>
    <t xml:space="preserve">Assumption for merchant discount revenue net of costs.</t>
  </si>
  <si>
    <t xml:space="preserve">One-time build cost</t>
  </si>
  <si>
    <t xml:space="preserve">Assumption: small product + data science team for ~2 quarters.</t>
  </si>
  <si>
    <t xml:space="preserve">Annual run cost</t>
  </si>
  <si>
    <t xml:space="preserve">Assumption: hosting, model monitoring, support.</t>
  </si>
  <si>
    <t xml:space="preserve">Outputs (annual, steady state)</t>
  </si>
  <si>
    <t xml:space="preserve">Target customers with cash flow pain</t>
  </si>
  <si>
    <t xml:space="preserve">Alert adopters</t>
  </si>
  <si>
    <t xml:space="preserve">Customers drawing on line of credit</t>
  </si>
  <si>
    <t xml:space="preserve">Total draw volume</t>
  </si>
  <si>
    <t xml:space="preserve">Interest and fee revenue</t>
  </si>
  <si>
    <t xml:space="preserve">Expected credit losses</t>
  </si>
  <si>
    <t xml:space="preserve">Customers shifting supplier payments to card</t>
  </si>
  <si>
    <t xml:space="preserve">Card revenue</t>
  </si>
  <si>
    <t xml:space="preserve">Net annual contribution</t>
  </si>
  <si>
    <t xml:space="preserve">Year 1 net (after build cost)</t>
  </si>
  <si>
    <t xml:space="preserve">Payback period (months)</t>
  </si>
  <si>
    <t xml:space="preserve">Feature Prioritization (RICE)</t>
  </si>
  <si>
    <t xml:space="preserve">Score = Reach x Impact x Confidence / Effort. Blue cells are judgment calls: review and change them to your own.</t>
  </si>
  <si>
    <t xml:space="preserve">Feature</t>
  </si>
  <si>
    <t xml:space="preserve">Reach (customers/qtr, K)</t>
  </si>
  <si>
    <t xml:space="preserve">Impact (0.25-3)</t>
  </si>
  <si>
    <t xml:space="preserve">Confidence</t>
  </si>
  <si>
    <t xml:space="preserve">Effort (person-months)</t>
  </si>
  <si>
    <t xml:space="preserve">RICE score</t>
  </si>
  <si>
    <t xml:space="preserve">Rank</t>
  </si>
  <si>
    <t xml:space="preserve">Rationale</t>
  </si>
  <si>
    <t xml:space="preserve">30-day cash crunch alert from linked accounts</t>
  </si>
  <si>
    <t xml:space="preserve">Core value: warns before the shortfall, using account data the dashboard already shows.</t>
  </si>
  <si>
    <t xml:space="preserve">Plain-language AI explanation of each alert</t>
  </si>
  <si>
    <t xml:space="preserve">Explains the 'why' so owners trust the forecast; accuracy is a top AI concern.</t>
  </si>
  <si>
    <t xml:space="preserve">One-tap line of credit draw from the alert</t>
  </si>
  <si>
    <t xml:space="preserve">Turns insight into action on the same platform; must be framed carefully to avoid pushing debt.</t>
  </si>
  <si>
    <t xml:space="preserve">Suggest paying a supplier by card to extend float</t>
  </si>
  <si>
    <t xml:space="preserve">Uses existing card products; benefit depends on supplier acceptance.</t>
  </si>
  <si>
    <t xml:space="preserve">Overdue-receivable reminder nudges</t>
  </si>
  <si>
    <t xml:space="preserve">Targets the receivables side of uneven cash flow; needs invoice data the platform may not have.</t>
  </si>
  <si>
    <t xml:space="preserve">What-if planner (hire, big purchase)</t>
  </si>
  <si>
    <t xml:space="preserve">Competitors offer it; nice-to-have for MVP.</t>
  </si>
  <si>
    <t xml:space="preserve">Weekly cash flow email digest</t>
  </si>
  <si>
    <t xml:space="preserve">Cheap engagement driver; low impact alone.</t>
  </si>
  <si>
    <t xml:space="preserve">Share forecast with accountant</t>
  </si>
  <si>
    <t xml:space="preserve">Useful for some segments; small reach.</t>
  </si>
  <si>
    <t xml:space="preserve">MVP cut line: ship the top 3 ranked features first.</t>
  </si>
  <si>
    <t xml:space="preserve">Sources</t>
  </si>
  <si>
    <t xml:space="preserve">Federal Reserve Banks, 2026 Report on Employer Firms (2025 Small Business Credit Survey)</t>
  </si>
  <si>
    <t xml:space="preserve">https://www.fedsmallbusiness.org/reports/survey/2026/2026-report-on-employer-firms</t>
  </si>
  <si>
    <t xml:space="preserve">SBA Office of Advocacy, Frequently Asked Questions About Small Business 2026</t>
  </si>
  <si>
    <t xml:space="preserve">https://advocacy.sba.gov/2026/02/03/advocacy-releases-frequently-asked-questions-about-small-businesses-2026/</t>
  </si>
  <si>
    <t xml:space="preserve">QuickBooks Cash Flow Planner (competitor)</t>
  </si>
  <si>
    <t xml:space="preserve">https://quickbooks.intuit.com/cash-flow/</t>
  </si>
  <si>
    <t xml:space="preserve">BILL Cash Flow Forecasting (competitor)</t>
  </si>
  <si>
    <t xml:space="preserve">https://www.bill.com/product/cash-flow-forecasting</t>
  </si>
  <si>
    <t xml:space="preserve">All other figures are labeled assumptions for illustration.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</si>
</sst>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5"/>
    <col collapsed="false" customWidth="true" hidden="false" outlineLevel="0" max="5" min="5" style="1" width="10"/>
    <col collapsed="false" customWidth="true" hidden="false" outlineLevel="0" max="6" min="6" style="1" width="95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n">
        <v>250000</v>
      </c>
      <c r="C5" s="6" t="n">
        <v>500000</v>
      </c>
      <c r="D5" s="6" t="n">
        <v>750000</v>
      </c>
      <c r="E5" s="5" t="s">
        <v>9</v>
      </c>
      <c r="F5" s="5" t="s">
        <v>10</v>
      </c>
    </row>
    <row r="6" customFormat="false" ht="15" hidden="false" customHeight="false" outlineLevel="0" collapsed="false">
      <c r="A6" s="5" t="s">
        <v>11</v>
      </c>
      <c r="B6" s="7" t="n">
        <v>0.5</v>
      </c>
      <c r="C6" s="7" t="n">
        <v>0.5</v>
      </c>
      <c r="D6" s="7" t="n">
        <v>0.5</v>
      </c>
      <c r="E6" s="5" t="s">
        <v>12</v>
      </c>
      <c r="F6" s="5" t="s">
        <v>13</v>
      </c>
    </row>
    <row r="7" customFormat="false" ht="15" hidden="false" customHeight="false" outlineLevel="0" collapsed="false">
      <c r="A7" s="5" t="s">
        <v>14</v>
      </c>
      <c r="B7" s="8" t="n">
        <v>0.15</v>
      </c>
      <c r="C7" s="8" t="n">
        <v>0.25</v>
      </c>
      <c r="D7" s="8" t="n">
        <v>0.35</v>
      </c>
      <c r="E7" s="5" t="s">
        <v>12</v>
      </c>
      <c r="F7" s="5" t="s">
        <v>15</v>
      </c>
    </row>
    <row r="8" customFormat="false" ht="15" hidden="false" customHeight="false" outlineLevel="0" collapsed="false">
      <c r="A8" s="5" t="s">
        <v>16</v>
      </c>
      <c r="B8" s="8" t="n">
        <v>0.1</v>
      </c>
      <c r="C8" s="8" t="n">
        <v>0.2</v>
      </c>
      <c r="D8" s="8" t="n">
        <v>0.3</v>
      </c>
      <c r="E8" s="5" t="s">
        <v>12</v>
      </c>
      <c r="F8" s="5" t="s">
        <v>17</v>
      </c>
    </row>
    <row r="9" customFormat="false" ht="15" hidden="false" customHeight="false" outlineLevel="0" collapsed="false">
      <c r="A9" s="5" t="s">
        <v>18</v>
      </c>
      <c r="B9" s="9" t="n">
        <v>15000</v>
      </c>
      <c r="C9" s="9" t="n">
        <v>20000</v>
      </c>
      <c r="D9" s="9" t="n">
        <v>25000</v>
      </c>
      <c r="E9" s="5" t="s">
        <v>19</v>
      </c>
      <c r="F9" s="5" t="s">
        <v>20</v>
      </c>
    </row>
    <row r="10" customFormat="false" ht="15" hidden="false" customHeight="false" outlineLevel="0" collapsed="false">
      <c r="A10" s="5" t="s">
        <v>21</v>
      </c>
      <c r="B10" s="7" t="n">
        <v>0.07</v>
      </c>
      <c r="C10" s="7" t="n">
        <v>0.09</v>
      </c>
      <c r="D10" s="7" t="n">
        <v>0.11</v>
      </c>
      <c r="E10" s="5" t="s">
        <v>12</v>
      </c>
      <c r="F10" s="5" t="s">
        <v>22</v>
      </c>
    </row>
    <row r="11" customFormat="false" ht="15" hidden="false" customHeight="false" outlineLevel="0" collapsed="false">
      <c r="A11" s="5" t="s">
        <v>23</v>
      </c>
      <c r="B11" s="10" t="n">
        <v>3</v>
      </c>
      <c r="C11" s="10" t="n">
        <v>3</v>
      </c>
      <c r="D11" s="10" t="n">
        <v>3</v>
      </c>
      <c r="E11" s="5" t="s">
        <v>24</v>
      </c>
      <c r="F11" s="5" t="s">
        <v>25</v>
      </c>
    </row>
    <row r="12" customFormat="false" ht="15" hidden="false" customHeight="false" outlineLevel="0" collapsed="false">
      <c r="A12" s="5" t="s">
        <v>26</v>
      </c>
      <c r="B12" s="7" t="n">
        <v>0.03</v>
      </c>
      <c r="C12" s="7" t="n">
        <v>0.025</v>
      </c>
      <c r="D12" s="7" t="n">
        <v>0.02</v>
      </c>
      <c r="E12" s="5" t="s">
        <v>12</v>
      </c>
      <c r="F12" s="5" t="s">
        <v>27</v>
      </c>
    </row>
    <row r="13" customFormat="false" ht="15" hidden="false" customHeight="false" outlineLevel="0" collapsed="false">
      <c r="A13" s="5" t="s">
        <v>28</v>
      </c>
      <c r="B13" s="8" t="n">
        <v>0.1</v>
      </c>
      <c r="C13" s="8" t="n">
        <v>0.15</v>
      </c>
      <c r="D13" s="8" t="n">
        <v>0.2</v>
      </c>
      <c r="E13" s="5" t="s">
        <v>12</v>
      </c>
      <c r="F13" s="5" t="s">
        <v>27</v>
      </c>
    </row>
    <row r="14" customFormat="false" ht="15" hidden="false" customHeight="false" outlineLevel="0" collapsed="false">
      <c r="A14" s="5" t="s">
        <v>29</v>
      </c>
      <c r="B14" s="9" t="n">
        <v>10000</v>
      </c>
      <c r="C14" s="9" t="n">
        <v>15000</v>
      </c>
      <c r="D14" s="9" t="n">
        <v>20000</v>
      </c>
      <c r="E14" s="5" t="s">
        <v>19</v>
      </c>
      <c r="F14" s="5" t="s">
        <v>27</v>
      </c>
    </row>
    <row r="15" customFormat="false" ht="15" hidden="false" customHeight="false" outlineLevel="0" collapsed="false">
      <c r="A15" s="5" t="s">
        <v>30</v>
      </c>
      <c r="B15" s="7" t="n">
        <v>0.015</v>
      </c>
      <c r="C15" s="7" t="n">
        <v>0.02</v>
      </c>
      <c r="D15" s="7" t="n">
        <v>0.025</v>
      </c>
      <c r="E15" s="5" t="s">
        <v>12</v>
      </c>
      <c r="F15" s="5" t="s">
        <v>31</v>
      </c>
    </row>
    <row r="16" customFormat="false" ht="15" hidden="false" customHeight="false" outlineLevel="0" collapsed="false">
      <c r="A16" s="5" t="s">
        <v>32</v>
      </c>
      <c r="B16" s="9" t="n">
        <v>2000000</v>
      </c>
      <c r="C16" s="9" t="n">
        <v>1500000</v>
      </c>
      <c r="D16" s="9" t="n">
        <v>1000000</v>
      </c>
      <c r="E16" s="5" t="s">
        <v>19</v>
      </c>
      <c r="F16" s="5" t="s">
        <v>33</v>
      </c>
    </row>
    <row r="17" customFormat="false" ht="15" hidden="false" customHeight="false" outlineLevel="0" collapsed="false">
      <c r="A17" s="5" t="s">
        <v>34</v>
      </c>
      <c r="B17" s="9" t="n">
        <v>600000</v>
      </c>
      <c r="C17" s="9" t="n">
        <v>500000</v>
      </c>
      <c r="D17" s="9" t="n">
        <v>400000</v>
      </c>
      <c r="E17" s="5" t="s">
        <v>19</v>
      </c>
      <c r="F17" s="5" t="s">
        <v>35</v>
      </c>
    </row>
    <row r="19" customFormat="false" ht="15" hidden="false" customHeight="false" outlineLevel="0" collapsed="false">
      <c r="A19" s="11" t="s">
        <v>36</v>
      </c>
      <c r="B19" s="12"/>
      <c r="C19" s="12"/>
      <c r="D19" s="12"/>
      <c r="E19" s="12"/>
      <c r="F19" s="12"/>
    </row>
    <row r="20" customFormat="false" ht="15" hidden="false" customHeight="false" outlineLevel="0" collapsed="false">
      <c r="A20" s="5" t="s">
        <v>37</v>
      </c>
      <c r="B20" s="13" t="n">
        <f aca="false">B5*B6</f>
        <v>125000</v>
      </c>
      <c r="C20" s="13" t="n">
        <f aca="false">C5*C6</f>
        <v>250000</v>
      </c>
      <c r="D20" s="13" t="n">
        <f aca="false">D5*D6</f>
        <v>375000</v>
      </c>
    </row>
    <row r="21" customFormat="false" ht="15" hidden="false" customHeight="false" outlineLevel="0" collapsed="false">
      <c r="A21" s="5" t="s">
        <v>38</v>
      </c>
      <c r="B21" s="13" t="n">
        <f aca="false">B20*B7</f>
        <v>18750</v>
      </c>
      <c r="C21" s="13" t="n">
        <f aca="false">C20*C7</f>
        <v>62500</v>
      </c>
      <c r="D21" s="13" t="n">
        <f aca="false">D20*D7</f>
        <v>131250</v>
      </c>
    </row>
    <row r="22" customFormat="false" ht="15" hidden="false" customHeight="false" outlineLevel="0" collapsed="false">
      <c r="A22" s="5" t="s">
        <v>39</v>
      </c>
      <c r="B22" s="13" t="n">
        <f aca="false">B21*B8</f>
        <v>1875</v>
      </c>
      <c r="C22" s="13" t="n">
        <f aca="false">C21*C8</f>
        <v>12500</v>
      </c>
      <c r="D22" s="13" t="n">
        <f aca="false">D21*D8</f>
        <v>39375</v>
      </c>
    </row>
    <row r="23" customFormat="false" ht="15" hidden="false" customHeight="false" outlineLevel="0" collapsed="false">
      <c r="A23" s="5" t="s">
        <v>40</v>
      </c>
      <c r="B23" s="14" t="n">
        <f aca="false">B22*B9</f>
        <v>28125000</v>
      </c>
      <c r="C23" s="14" t="n">
        <f aca="false">C22*C9</f>
        <v>250000000</v>
      </c>
      <c r="D23" s="14" t="n">
        <f aca="false">D22*D9</f>
        <v>984375000</v>
      </c>
    </row>
    <row r="24" customFormat="false" ht="15" hidden="false" customHeight="false" outlineLevel="0" collapsed="false">
      <c r="A24" s="5" t="s">
        <v>41</v>
      </c>
      <c r="B24" s="14" t="n">
        <f aca="false">B23*B10*(B11/12)</f>
        <v>492187.5</v>
      </c>
      <c r="C24" s="14" t="n">
        <f aca="false">C23*C10*(C11/12)</f>
        <v>5625000</v>
      </c>
      <c r="D24" s="14" t="n">
        <f aca="false">D23*D10*(D11/12)</f>
        <v>27070312.5</v>
      </c>
    </row>
    <row r="25" customFormat="false" ht="15" hidden="false" customHeight="false" outlineLevel="0" collapsed="false">
      <c r="A25" s="5" t="s">
        <v>42</v>
      </c>
      <c r="B25" s="14" t="n">
        <f aca="false">-B23*B12</f>
        <v>-843750</v>
      </c>
      <c r="C25" s="14" t="n">
        <f aca="false">-C23*C12</f>
        <v>-6250000</v>
      </c>
      <c r="D25" s="14" t="n">
        <f aca="false">-D23*D12</f>
        <v>-19687500</v>
      </c>
    </row>
    <row r="26" customFormat="false" ht="15" hidden="false" customHeight="false" outlineLevel="0" collapsed="false">
      <c r="A26" s="5" t="s">
        <v>43</v>
      </c>
      <c r="B26" s="13" t="n">
        <f aca="false">B21*B13</f>
        <v>1875</v>
      </c>
      <c r="C26" s="13" t="n">
        <f aca="false">C21*C13</f>
        <v>9375</v>
      </c>
      <c r="D26" s="13" t="n">
        <f aca="false">D21*D13</f>
        <v>26250</v>
      </c>
    </row>
    <row r="27" customFormat="false" ht="15" hidden="false" customHeight="false" outlineLevel="0" collapsed="false">
      <c r="A27" s="5" t="s">
        <v>44</v>
      </c>
      <c r="B27" s="14" t="n">
        <f aca="false">B26*B14*B15</f>
        <v>281250</v>
      </c>
      <c r="C27" s="14" t="n">
        <f aca="false">C26*C14*C15</f>
        <v>2812500</v>
      </c>
      <c r="D27" s="14" t="n">
        <f aca="false">D26*D14*D15</f>
        <v>13125000</v>
      </c>
    </row>
    <row r="28" customFormat="false" ht="15" hidden="false" customHeight="false" outlineLevel="0" collapsed="false">
      <c r="A28" s="5" t="s">
        <v>34</v>
      </c>
      <c r="B28" s="14" t="n">
        <f aca="false">-B17</f>
        <v>-600000</v>
      </c>
      <c r="C28" s="14" t="n">
        <f aca="false">-C17</f>
        <v>-500000</v>
      </c>
      <c r="D28" s="14" t="n">
        <f aca="false">-D17</f>
        <v>-400000</v>
      </c>
    </row>
    <row r="29" customFormat="false" ht="15" hidden="false" customHeight="false" outlineLevel="0" collapsed="false">
      <c r="A29" s="15" t="s">
        <v>45</v>
      </c>
      <c r="B29" s="16" t="n">
        <f aca="false">SUM(B24,B25,B27,B28)</f>
        <v>-670312.5</v>
      </c>
      <c r="C29" s="16" t="n">
        <f aca="false">SUM(C24,C25,C27,C28)</f>
        <v>1687500</v>
      </c>
      <c r="D29" s="16" t="n">
        <f aca="false">SUM(D24,D25,D27,D28)</f>
        <v>20107812.5</v>
      </c>
    </row>
    <row r="30" customFormat="false" ht="15" hidden="false" customHeight="false" outlineLevel="0" collapsed="false">
      <c r="A30" s="15" t="s">
        <v>46</v>
      </c>
      <c r="B30" s="16" t="n">
        <f aca="false">B29-B16</f>
        <v>-2670312.5</v>
      </c>
      <c r="C30" s="16" t="n">
        <f aca="false">C29-C16</f>
        <v>187500</v>
      </c>
      <c r="D30" s="16" t="n">
        <f aca="false">D29-D16</f>
        <v>19107812.5</v>
      </c>
    </row>
    <row r="31" customFormat="false" ht="15" hidden="false" customHeight="false" outlineLevel="0" collapsed="false">
      <c r="A31" s="15" t="s">
        <v>47</v>
      </c>
      <c r="B31" s="17" t="str">
        <f aca="false">IF(B29&gt;0,B16/(B29/12),"No payback")</f>
        <v>No payback</v>
      </c>
      <c r="C31" s="17" t="n">
        <f aca="false">IF(C29&gt;0,C16/(C29/12),"No payback")</f>
        <v>10.6666666666667</v>
      </c>
      <c r="D31" s="17" t="n">
        <f aca="false">IF(D29&gt;0,D16/(D29/12),"No payback")</f>
        <v>0.596782966819489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7" min="2" style="1" width="14"/>
    <col collapsed="false" customWidth="true" hidden="false" outlineLevel="0" max="8" min="8" style="1" width="80"/>
  </cols>
  <sheetData>
    <row r="1" customFormat="false" ht="17.35" hidden="false" customHeight="false" outlineLevel="0" collapsed="false">
      <c r="A1" s="2" t="s">
        <v>48</v>
      </c>
    </row>
    <row r="2" customFormat="false" ht="15" hidden="false" customHeight="false" outlineLevel="0" collapsed="false">
      <c r="A2" s="3" t="s">
        <v>49</v>
      </c>
    </row>
    <row r="4" customFormat="false" ht="31.5" hidden="false" customHeight="true" outlineLevel="0" collapsed="false">
      <c r="A4" s="18" t="s">
        <v>50</v>
      </c>
      <c r="B4" s="18" t="s">
        <v>51</v>
      </c>
      <c r="C4" s="18" t="s">
        <v>52</v>
      </c>
      <c r="D4" s="18" t="s">
        <v>53</v>
      </c>
      <c r="E4" s="18" t="s">
        <v>54</v>
      </c>
      <c r="F4" s="18" t="s">
        <v>55</v>
      </c>
      <c r="G4" s="18" t="s">
        <v>56</v>
      </c>
      <c r="H4" s="18" t="s">
        <v>57</v>
      </c>
    </row>
    <row r="5" customFormat="false" ht="15" hidden="false" customHeight="false" outlineLevel="0" collapsed="false">
      <c r="A5" s="5" t="s">
        <v>58</v>
      </c>
      <c r="B5" s="19" t="n">
        <v>60</v>
      </c>
      <c r="C5" s="19" t="n">
        <v>3</v>
      </c>
      <c r="D5" s="20" t="n">
        <v>0.7</v>
      </c>
      <c r="E5" s="19" t="n">
        <v>6</v>
      </c>
      <c r="F5" s="21" t="n">
        <f aca="false">IF(E5&gt;0,B5*C5*D5/E5,0)</f>
        <v>21</v>
      </c>
      <c r="G5" s="1" t="n">
        <f aca="false">RANK(F5,$F$5:$F$12)</f>
        <v>1</v>
      </c>
      <c r="H5" s="5" t="s">
        <v>59</v>
      </c>
    </row>
    <row r="6" customFormat="false" ht="15" hidden="false" customHeight="false" outlineLevel="0" collapsed="false">
      <c r="A6" s="5" t="s">
        <v>60</v>
      </c>
      <c r="B6" s="19" t="n">
        <v>60</v>
      </c>
      <c r="C6" s="19" t="n">
        <v>1</v>
      </c>
      <c r="D6" s="20" t="n">
        <v>0.6</v>
      </c>
      <c r="E6" s="19" t="n">
        <v>2</v>
      </c>
      <c r="F6" s="21" t="n">
        <f aca="false">IF(E6&gt;0,B6*C6*D6/E6,0)</f>
        <v>18</v>
      </c>
      <c r="G6" s="1" t="n">
        <f aca="false">RANK(F6,$F$5:$F$12)</f>
        <v>2</v>
      </c>
      <c r="H6" s="5" t="s">
        <v>61</v>
      </c>
    </row>
    <row r="7" customFormat="false" ht="15" hidden="false" customHeight="false" outlineLevel="0" collapsed="false">
      <c r="A7" s="5" t="s">
        <v>62</v>
      </c>
      <c r="B7" s="19" t="n">
        <v>15</v>
      </c>
      <c r="C7" s="19" t="n">
        <v>2</v>
      </c>
      <c r="D7" s="20" t="n">
        <v>0.6</v>
      </c>
      <c r="E7" s="19" t="n">
        <v>3</v>
      </c>
      <c r="F7" s="21" t="n">
        <f aca="false">IF(E7&gt;0,B7*C7*D7/E7,0)</f>
        <v>6</v>
      </c>
      <c r="G7" s="1" t="n">
        <f aca="false">RANK(F7,$F$5:$F$12)</f>
        <v>4</v>
      </c>
      <c r="H7" s="5" t="s">
        <v>63</v>
      </c>
    </row>
    <row r="8" customFormat="false" ht="15" hidden="false" customHeight="false" outlineLevel="0" collapsed="false">
      <c r="A8" s="5" t="s">
        <v>64</v>
      </c>
      <c r="B8" s="19" t="n">
        <v>20</v>
      </c>
      <c r="C8" s="19" t="n">
        <v>1</v>
      </c>
      <c r="D8" s="20" t="n">
        <v>0.5</v>
      </c>
      <c r="E8" s="19" t="n">
        <v>2</v>
      </c>
      <c r="F8" s="21" t="n">
        <f aca="false">IF(E8&gt;0,B8*C8*D8/E8,0)</f>
        <v>5</v>
      </c>
      <c r="G8" s="1" t="n">
        <f aca="false">RANK(F8,$F$5:$F$12)</f>
        <v>5</v>
      </c>
      <c r="H8" s="5" t="s">
        <v>65</v>
      </c>
    </row>
    <row r="9" customFormat="false" ht="15" hidden="false" customHeight="false" outlineLevel="0" collapsed="false">
      <c r="A9" s="5" t="s">
        <v>66</v>
      </c>
      <c r="B9" s="19" t="n">
        <v>25</v>
      </c>
      <c r="C9" s="19" t="n">
        <v>2</v>
      </c>
      <c r="D9" s="20" t="n">
        <v>0.4</v>
      </c>
      <c r="E9" s="19" t="n">
        <v>5</v>
      </c>
      <c r="F9" s="21" t="n">
        <f aca="false">IF(E9&gt;0,B9*C9*D9/E9,0)</f>
        <v>4</v>
      </c>
      <c r="G9" s="1" t="n">
        <f aca="false">RANK(F9,$F$5:$F$12)</f>
        <v>6</v>
      </c>
      <c r="H9" s="5" t="s">
        <v>67</v>
      </c>
    </row>
    <row r="10" customFormat="false" ht="15" hidden="false" customHeight="false" outlineLevel="0" collapsed="false">
      <c r="A10" s="5" t="s">
        <v>68</v>
      </c>
      <c r="B10" s="19" t="n">
        <v>15</v>
      </c>
      <c r="C10" s="19" t="n">
        <v>1</v>
      </c>
      <c r="D10" s="20" t="n">
        <v>0.5</v>
      </c>
      <c r="E10" s="19" t="n">
        <v>4</v>
      </c>
      <c r="F10" s="21" t="n">
        <f aca="false">IF(E10&gt;0,B10*C10*D10/E10,0)</f>
        <v>1.875</v>
      </c>
      <c r="G10" s="1" t="n">
        <f aca="false">RANK(F10,$F$5:$F$12)</f>
        <v>7</v>
      </c>
      <c r="H10" s="5" t="s">
        <v>69</v>
      </c>
    </row>
    <row r="11" customFormat="false" ht="15" hidden="false" customHeight="false" outlineLevel="0" collapsed="false">
      <c r="A11" s="5" t="s">
        <v>70</v>
      </c>
      <c r="B11" s="19" t="n">
        <v>40</v>
      </c>
      <c r="C11" s="19" t="n">
        <v>0.5</v>
      </c>
      <c r="D11" s="20" t="n">
        <v>0.8</v>
      </c>
      <c r="E11" s="19" t="n">
        <v>1</v>
      </c>
      <c r="F11" s="21" t="n">
        <f aca="false">IF(E11&gt;0,B11*C11*D11/E11,0)</f>
        <v>16</v>
      </c>
      <c r="G11" s="1" t="n">
        <f aca="false">RANK(F11,$F$5:$F$12)</f>
        <v>3</v>
      </c>
      <c r="H11" s="5" t="s">
        <v>71</v>
      </c>
    </row>
    <row r="12" customFormat="false" ht="15" hidden="false" customHeight="false" outlineLevel="0" collapsed="false">
      <c r="A12" s="5" t="s">
        <v>72</v>
      </c>
      <c r="B12" s="19" t="n">
        <v>8</v>
      </c>
      <c r="C12" s="19" t="n">
        <v>0.5</v>
      </c>
      <c r="D12" s="20" t="n">
        <v>0.7</v>
      </c>
      <c r="E12" s="19" t="n">
        <v>2</v>
      </c>
      <c r="F12" s="21" t="n">
        <f aca="false">IF(E12&gt;0,B12*C12*D12/E12,0)</f>
        <v>1.4</v>
      </c>
      <c r="G12" s="1" t="n">
        <f aca="false">RANK(F12,$F$5:$F$12)</f>
        <v>8</v>
      </c>
      <c r="H12" s="5" t="s">
        <v>73</v>
      </c>
    </row>
    <row r="14" customFormat="false" ht="15" hidden="false" customHeight="false" outlineLevel="0" collapsed="false">
      <c r="A14" s="1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5"/>
    <col collapsed="false" customWidth="true" hidden="false" outlineLevel="0" max="2" min="2" style="1" width="95"/>
  </cols>
  <sheetData>
    <row r="1" customFormat="false" ht="17.35" hidden="false" customHeight="false" outlineLevel="0" collapsed="false">
      <c r="A1" s="2" t="s">
        <v>75</v>
      </c>
    </row>
    <row r="3" customFormat="false" ht="15" hidden="false" customHeight="false" outlineLevel="0" collapsed="false">
      <c r="A3" s="5" t="s">
        <v>76</v>
      </c>
      <c r="B3" s="5" t="s">
        <v>77</v>
      </c>
    </row>
    <row r="4" customFormat="false" ht="15" hidden="false" customHeight="false" outlineLevel="0" collapsed="false">
      <c r="A4" s="5" t="s">
        <v>78</v>
      </c>
      <c r="B4" s="5" t="s">
        <v>79</v>
      </c>
    </row>
    <row r="5" customFormat="false" ht="15" hidden="false" customHeight="false" outlineLevel="0" collapsed="false">
      <c r="A5" s="5" t="s">
        <v>80</v>
      </c>
      <c r="B5" s="5" t="s">
        <v>81</v>
      </c>
    </row>
    <row r="6" customFormat="false" ht="15" hidden="false" customHeight="false" outlineLevel="0" collapsed="false">
      <c r="A6" s="5" t="s">
        <v>82</v>
      </c>
      <c r="B6" s="5" t="s">
        <v>83</v>
      </c>
    </row>
    <row r="10" customFormat="false" ht="15" hidden="false" customHeight="false" outlineLevel="0" collapsed="false">
      <c r="A10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2026-10-01T01:59:10Z</dcterms:created>
  <dc:creator>openpyxl</dc:creator>
  <dc:description/>
  <dc:language>en-US</dc:language>
  <cp:lastModifiedBy/>
  <dcterms:modified xsi:type="dcterms:W3CDTF">2026-10-01T01:59:10Z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